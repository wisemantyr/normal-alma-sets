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ler\AppData\Local\Box\Box Edit\Documents\IzB1WO0hkUay8VQU5xjs0A==\"/>
    </mc:Choice>
  </mc:AlternateContent>
  <xr:revisionPtr revIDLastSave="0" documentId="13_ncr:1_{CB6F7B5A-7392-4B4E-9F25-B4193C9C961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Sheet1!$A$14:$V$14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5" i="1" l="1"/>
  <c r="U15" i="1"/>
  <c r="M15" i="1"/>
  <c r="A3" i="1"/>
  <c r="P11" i="1"/>
  <c r="C11" i="1"/>
  <c r="P10" i="1"/>
  <c r="C10" i="1"/>
  <c r="P9" i="1"/>
  <c r="P8" i="1"/>
  <c r="P7" i="1"/>
  <c r="P6" i="1"/>
  <c r="P5" i="1"/>
  <c r="P12" i="1" s="1"/>
  <c r="M4" i="1"/>
  <c r="M3" i="1"/>
  <c r="K3" i="1"/>
  <c r="M2" i="1"/>
  <c r="C7" i="1"/>
  <c r="C6" i="1"/>
  <c r="C5" i="1"/>
  <c r="C4" i="1"/>
  <c r="C3" i="1"/>
  <c r="C2" i="1"/>
  <c r="D7" i="1" l="1"/>
  <c r="D4" i="1"/>
  <c r="D6" i="1"/>
  <c r="C8" i="1"/>
  <c r="D2" i="1"/>
  <c r="D5" i="1"/>
  <c r="D3" i="1"/>
  <c r="N3" i="1"/>
  <c r="N4" i="1"/>
  <c r="N2" i="1"/>
  <c r="M5" i="1"/>
  <c r="Q8" i="1" l="1"/>
  <c r="Q5" i="1"/>
  <c r="N5" i="1"/>
  <c r="Q6" i="1"/>
  <c r="Q11" i="1"/>
  <c r="Q7" i="1"/>
  <c r="Q10" i="1"/>
  <c r="Q9" i="1"/>
  <c r="N12" i="1"/>
  <c r="M12" i="1"/>
  <c r="D8" i="1"/>
  <c r="Q12" i="1" l="1"/>
</calcChain>
</file>

<file path=xl/sharedStrings.xml><?xml version="1.0" encoding="utf-8"?>
<sst xmlns="http://schemas.openxmlformats.org/spreadsheetml/2006/main" count="51" uniqueCount="48">
  <si>
    <t># items</t>
  </si>
  <si>
    <t>% total items</t>
  </si>
  <si>
    <t>% category</t>
  </si>
  <si>
    <t>TOTAL ITEMS</t>
  </si>
  <si>
    <t>Renewed</t>
  </si>
  <si>
    <t>TOTAL USERS</t>
  </si>
  <si>
    <t>Student</t>
  </si>
  <si>
    <t>Returned</t>
  </si>
  <si>
    <t>Faculty</t>
  </si>
  <si>
    <t>Found in library</t>
  </si>
  <si>
    <t>Staff</t>
  </si>
  <si>
    <t>Active Investigation</t>
  </si>
  <si>
    <t>Community</t>
  </si>
  <si>
    <t>FOL</t>
  </si>
  <si>
    <t>Collection Assessment</t>
  </si>
  <si>
    <t>General</t>
  </si>
  <si>
    <t>Education</t>
  </si>
  <si>
    <t>Retired</t>
  </si>
  <si>
    <t>From due date</t>
  </si>
  <si>
    <t>Family</t>
  </si>
  <si>
    <t>From contact date</t>
  </si>
  <si>
    <t>ILL</t>
  </si>
  <si>
    <t>BARCODE</t>
  </si>
  <si>
    <t>TITLE</t>
  </si>
  <si>
    <t>CALL NUMBER</t>
  </si>
  <si>
    <t>PERMANENT LOCATION</t>
  </si>
  <si>
    <t>MATERIAL</t>
  </si>
  <si>
    <t>COPY ID</t>
  </si>
  <si>
    <t>DESC.</t>
  </si>
  <si>
    <t>ORDERS</t>
  </si>
  <si>
    <t>REQ</t>
  </si>
  <si>
    <t>MOD DATE</t>
  </si>
  <si>
    <t>DUE DATE</t>
  </si>
  <si>
    <t>DAYS SINCE DUE DATE</t>
  </si>
  <si>
    <t>USER TYPE</t>
  </si>
  <si>
    <t>USER</t>
  </si>
  <si>
    <t>ACCT STATUS</t>
  </si>
  <si>
    <t>EMPLOYEE CONTACT</t>
  </si>
  <si>
    <t>DATE CONTACT</t>
  </si>
  <si>
    <t>NOTES</t>
  </si>
  <si>
    <t>NEXT PROCESS DATE</t>
  </si>
  <si>
    <t>DAYS FROM CONTACT TO NEXT PROCESS</t>
  </si>
  <si>
    <t>DAYS FROM DUE DATE TO NEXT PROCESS</t>
  </si>
  <si>
    <t>AUTHOR</t>
  </si>
  <si>
    <t>Claims Returned</t>
  </si>
  <si>
    <t>AVERAGE # DAYS TO RESOLUTION (RUNNING)</t>
  </si>
  <si>
    <t>Alumni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</si>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</sst>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9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indexed="8"/>
      <name val="Calibri"/>
      <family val="2"/>
      <scheme val="minor"/>
    </font>
    <font>
      <sz val="22"/>
      <color indexed="8"/>
      <name val="Calibri"/>
      <family val="2"/>
      <scheme val="minor"/>
    </font>
    <font>
      <b/>
      <sz val="22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b/>
      <sz val="11"/>
      <name val="Calibri"/>
      <family val="2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1" fillId="2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4" borderId="2" xfId="0" applyFill="1" applyBorder="1" applyAlignment="1">
      <alignment horizontal="right" vertical="center"/>
    </xf>
    <xf numFmtId="0" fontId="2" fillId="4" borderId="2" xfId="0" applyFont="1" applyFill="1" applyBorder="1" applyAlignment="1">
      <alignment horizontal="center"/>
    </xf>
    <xf numFmtId="9" fontId="2" fillId="4" borderId="3" xfId="0" applyNumberFormat="1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9" fontId="2" fillId="5" borderId="5" xfId="0" applyNumberFormat="1" applyFont="1" applyFill="1" applyBorder="1" applyAlignment="1">
      <alignment horizontal="center"/>
    </xf>
    <xf numFmtId="0" fontId="0" fillId="5" borderId="5" xfId="0" applyFill="1" applyBorder="1"/>
    <xf numFmtId="0" fontId="0" fillId="5" borderId="6" xfId="0" applyFill="1" applyBorder="1"/>
    <xf numFmtId="0" fontId="0" fillId="2" borderId="7" xfId="0" applyFill="1" applyBorder="1"/>
    <xf numFmtId="0" fontId="0" fillId="6" borderId="9" xfId="0" applyFill="1" applyBorder="1" applyAlignment="1">
      <alignment horizontal="right" vertical="center"/>
    </xf>
    <xf numFmtId="0" fontId="2" fillId="6" borderId="9" xfId="0" applyFont="1" applyFill="1" applyBorder="1" applyAlignment="1">
      <alignment horizontal="center"/>
    </xf>
    <xf numFmtId="9" fontId="2" fillId="6" borderId="10" xfId="0" applyNumberFormat="1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9" fontId="2" fillId="5" borderId="9" xfId="0" applyNumberFormat="1" applyFont="1" applyFill="1" applyBorder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9" fontId="2" fillId="7" borderId="7" xfId="0" applyNumberFormat="1" applyFont="1" applyFill="1" applyBorder="1" applyAlignment="1">
      <alignment horizontal="center"/>
    </xf>
    <xf numFmtId="0" fontId="0" fillId="0" borderId="9" xfId="0" applyBorder="1" applyAlignment="1">
      <alignment horizontal="right" vertical="center"/>
    </xf>
    <xf numFmtId="0" fontId="2" fillId="3" borderId="9" xfId="0" applyFont="1" applyFill="1" applyBorder="1" applyAlignment="1">
      <alignment horizontal="center" vertical="center"/>
    </xf>
    <xf numFmtId="9" fontId="2" fillId="3" borderId="10" xfId="0" applyNumberFormat="1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1" fillId="2" borderId="16" xfId="0" applyFont="1" applyFill="1" applyBorder="1"/>
    <xf numFmtId="0" fontId="0" fillId="2" borderId="16" xfId="0" applyFill="1" applyBorder="1" applyAlignment="1">
      <alignment horizontal="right" wrapText="1"/>
    </xf>
    <xf numFmtId="0" fontId="0" fillId="9" borderId="16" xfId="0" applyFill="1" applyBorder="1" applyAlignment="1">
      <alignment horizontal="right" wrapText="1"/>
    </xf>
    <xf numFmtId="1" fontId="2" fillId="9" borderId="7" xfId="0" applyNumberFormat="1" applyFont="1" applyFill="1" applyBorder="1" applyAlignment="1">
      <alignment horizontal="center" vertical="center"/>
    </xf>
    <xf numFmtId="0" fontId="0" fillId="9" borderId="18" xfId="0" applyFill="1" applyBorder="1" applyAlignment="1">
      <alignment horizontal="right" wrapText="1"/>
    </xf>
    <xf numFmtId="1" fontId="2" fillId="9" borderId="15" xfId="0" applyNumberFormat="1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4" xfId="0" applyFill="1" applyBorder="1" applyAlignment="1">
      <alignment vertical="center"/>
    </xf>
    <xf numFmtId="14" fontId="0" fillId="2" borderId="14" xfId="0" applyNumberFormat="1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3" xfId="0" applyFill="1" applyBorder="1"/>
    <xf numFmtId="0" fontId="7" fillId="10" borderId="19" xfId="0" applyFont="1" applyFill="1" applyBorder="1" applyAlignment="1">
      <alignment horizontal="left" wrapText="1"/>
    </xf>
    <xf numFmtId="0" fontId="7" fillId="10" borderId="19" xfId="0" applyFont="1" applyFill="1" applyBorder="1" applyAlignment="1">
      <alignment wrapText="1"/>
    </xf>
    <xf numFmtId="164" fontId="7" fillId="10" borderId="19" xfId="0" applyNumberFormat="1" applyFont="1" applyFill="1" applyBorder="1" applyAlignment="1">
      <alignment wrapText="1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9" fontId="2" fillId="5" borderId="12" xfId="0" applyNumberFormat="1" applyFont="1" applyFill="1" applyBorder="1" applyAlignment="1">
      <alignment horizontal="center" vertical="center"/>
    </xf>
    <xf numFmtId="9" fontId="2" fillId="5" borderId="14" xfId="0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/>
    </xf>
    <xf numFmtId="9" fontId="8" fillId="2" borderId="2" xfId="0" applyNumberFormat="1" applyFon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0" fontId="0" fillId="2" borderId="0" xfId="0" applyFill="1"/>
    <xf numFmtId="0" fontId="3" fillId="2" borderId="0" xfId="0" applyFont="1" applyFill="1" applyAlignment="1">
      <alignment vertical="center"/>
    </xf>
    <xf numFmtId="0" fontId="1" fillId="2" borderId="0" xfId="0" applyFont="1" applyFill="1" applyAlignment="1">
      <alignment horizontal="center"/>
    </xf>
    <xf numFmtId="0" fontId="0" fillId="5" borderId="17" xfId="0" applyFill="1" applyBorder="1" applyAlignment="1">
      <alignment horizontal="center" vertical="center"/>
    </xf>
    <xf numFmtId="164" fontId="0" fillId="2" borderId="0" xfId="0" applyNumberFormat="1" applyFill="1"/>
    <xf numFmtId="0" fontId="4" fillId="2" borderId="0" xfId="0" applyFont="1" applyFill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7" borderId="0" xfId="0" applyFill="1" applyAlignment="1">
      <alignment horizontal="right" vertical="center"/>
    </xf>
    <xf numFmtId="0" fontId="2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9" fontId="1" fillId="5" borderId="7" xfId="0" applyNumberFormat="1" applyFont="1" applyFill="1" applyBorder="1" applyAlignment="1">
      <alignment horizontal="center"/>
    </xf>
    <xf numFmtId="164" fontId="1" fillId="2" borderId="0" xfId="0" applyNumberFormat="1" applyFont="1" applyFill="1"/>
    <xf numFmtId="9" fontId="1" fillId="2" borderId="0" xfId="0" applyNumberFormat="1" applyFont="1" applyFill="1"/>
    <xf numFmtId="0" fontId="0" fillId="8" borderId="0" xfId="0" applyFill="1" applyAlignment="1">
      <alignment horizontal="right" vertical="center"/>
    </xf>
    <xf numFmtId="0" fontId="2" fillId="8" borderId="0" xfId="0" applyFont="1" applyFill="1" applyAlignment="1">
      <alignment horizontal="center" vertical="center"/>
    </xf>
    <xf numFmtId="9" fontId="2" fillId="8" borderId="7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9" fontId="2" fillId="5" borderId="0" xfId="0" applyNumberFormat="1" applyFont="1" applyFill="1" applyAlignment="1">
      <alignment horizontal="center" vertical="center"/>
    </xf>
    <xf numFmtId="0" fontId="0" fillId="11" borderId="21" xfId="0" applyFill="1" applyBorder="1" applyAlignment="1">
      <alignment horizontal="right" vertical="center"/>
    </xf>
    <xf numFmtId="0" fontId="2" fillId="11" borderId="21" xfId="0" applyFont="1" applyFill="1" applyBorder="1" applyAlignment="1">
      <alignment horizontal="center" vertical="center"/>
    </xf>
    <xf numFmtId="9" fontId="2" fillId="11" borderId="22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9" fontId="5" fillId="2" borderId="0" xfId="0" applyNumberFormat="1" applyFont="1" applyFill="1" applyAlignment="1">
      <alignment horizontal="center" vertical="center"/>
    </xf>
    <xf numFmtId="0" fontId="1" fillId="2" borderId="0" xfId="0" applyFont="1" applyFill="1"/>
    <xf numFmtId="1" fontId="2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5" borderId="14" xfId="0" applyFont="1" applyFill="1" applyBorder="1" applyAlignment="1">
      <alignment horizontal="center"/>
    </xf>
    <xf numFmtId="9" fontId="1" fillId="5" borderId="15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9" fontId="6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9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/>
    <xf numFmtId="9" fontId="5" fillId="2" borderId="0" xfId="0" applyNumberFormat="1" applyFont="1" applyFill="1"/>
    <xf numFmtId="164" fontId="0" fillId="2" borderId="14" xfId="0" applyNumberFormat="1" applyFill="1" applyBorder="1"/>
    <xf numFmtId="164" fontId="7" fillId="12" borderId="19" xfId="0" applyNumberFormat="1" applyFont="1" applyFill="1" applyBorder="1" applyAlignment="1">
      <alignment wrapText="1"/>
    </xf>
    <xf numFmtId="0" fontId="7" fillId="12" borderId="19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FF9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tabSelected="1" workbookViewId="0">
      <selection activeCell="D24" sqref="D24"/>
    </sheetView>
  </sheetViews>
  <sheetFormatPr defaultRowHeight="14.65" customHeight="1" x14ac:dyDescent="0.25"/>
  <cols>
    <col min="1" max="1" width="12.28515625" bestFit="1" customWidth="1"/>
    <col min="2" max="2" width="24.42578125" customWidth="1"/>
    <col min="3" max="3" width="18" customWidth="1"/>
    <col min="4" max="4" width="11.7109375" bestFit="1" customWidth="1"/>
    <col min="5" max="5" width="12" customWidth="1"/>
    <col min="6" max="6" width="10" customWidth="1"/>
    <col min="10" max="10" width="12.28515625" bestFit="1" customWidth="1"/>
    <col min="11" max="11" width="12.5703125" bestFit="1" customWidth="1"/>
    <col min="12" max="12" width="11.28515625" bestFit="1" customWidth="1"/>
    <col min="13" max="13" width="11.7109375" bestFit="1" customWidth="1"/>
    <col min="14" max="14" width="11.140625" bestFit="1" customWidth="1"/>
    <col min="16" max="16" width="10.42578125" customWidth="1"/>
    <col min="17" max="17" width="10.140625" customWidth="1"/>
  </cols>
  <sheetData>
    <row r="1" spans="1:22" ht="15.75" thickBot="1" x14ac:dyDescent="0.3">
      <c r="A1" s="1"/>
      <c r="B1" s="2"/>
      <c r="C1" s="54" t="s">
        <v>0</v>
      </c>
      <c r="D1" s="55" t="s">
        <v>1</v>
      </c>
      <c r="E1" s="4"/>
      <c r="F1" s="5"/>
      <c r="G1" s="4"/>
      <c r="H1" s="4"/>
      <c r="I1" s="4"/>
      <c r="J1" s="5"/>
      <c r="K1" s="5"/>
      <c r="L1" s="2"/>
      <c r="M1" s="54" t="s">
        <v>0</v>
      </c>
      <c r="N1" s="55" t="s">
        <v>1</v>
      </c>
      <c r="O1" s="54"/>
      <c r="P1" s="54" t="s">
        <v>0</v>
      </c>
      <c r="Q1" s="54" t="s">
        <v>2</v>
      </c>
      <c r="R1" s="56"/>
      <c r="S1" s="3"/>
      <c r="T1" s="4"/>
      <c r="U1" s="4"/>
      <c r="V1" s="39"/>
    </row>
    <row r="2" spans="1:22" ht="14.65" customHeight="1" x14ac:dyDescent="0.3">
      <c r="A2" s="6" t="s">
        <v>3</v>
      </c>
      <c r="B2" s="7" t="s">
        <v>4</v>
      </c>
      <c r="C2" s="8">
        <f>CountColor(A:A, B2)</f>
        <v>0</v>
      </c>
      <c r="D2" s="9" t="e">
        <f t="shared" ref="D2:D7" si="0">C2/$A$3</f>
        <v>#DIV/0!</v>
      </c>
      <c r="E2" s="57"/>
      <c r="F2" s="58"/>
      <c r="G2" s="57"/>
      <c r="H2" s="57"/>
      <c r="I2" s="57"/>
      <c r="J2" s="59"/>
      <c r="K2" s="6" t="s">
        <v>5</v>
      </c>
      <c r="L2" s="60" t="s">
        <v>6</v>
      </c>
      <c r="M2" s="10">
        <f>COUNTIF($N$14:$N$258, "Student")</f>
        <v>0</v>
      </c>
      <c r="N2" s="11">
        <f>IF(M2&lt;&gt;0,M2/$A$3,0)</f>
        <v>0</v>
      </c>
      <c r="O2" s="12"/>
      <c r="P2" s="12"/>
      <c r="Q2" s="13"/>
      <c r="R2" s="61"/>
      <c r="S2" s="57"/>
      <c r="T2" s="57"/>
      <c r="U2" s="57"/>
      <c r="V2" s="14"/>
    </row>
    <row r="3" spans="1:22" ht="14.65" customHeight="1" x14ac:dyDescent="0.3">
      <c r="A3" s="43">
        <f>COUNTA(B:B) - 10</f>
        <v>0</v>
      </c>
      <c r="B3" s="15" t="s">
        <v>7</v>
      </c>
      <c r="C3" s="16">
        <f>CountColor(A:A, B3)</f>
        <v>1</v>
      </c>
      <c r="D3" s="17" t="e">
        <f t="shared" si="0"/>
        <v>#DIV/0!</v>
      </c>
      <c r="E3" s="57"/>
      <c r="F3" s="58"/>
      <c r="G3" s="57"/>
      <c r="H3" s="57"/>
      <c r="I3" s="57"/>
      <c r="J3" s="62"/>
      <c r="K3" s="43">
        <f>COUNT(_xlfn.UNIQUE($O$15:$O$257))</f>
        <v>0</v>
      </c>
      <c r="L3" s="63" t="s">
        <v>8</v>
      </c>
      <c r="M3" s="18">
        <f>COUNTIF($N$14:$N$258, "Faculty")</f>
        <v>0</v>
      </c>
      <c r="N3" s="19">
        <f>IF(M2&lt;&gt;0,M3/$A$3,0)</f>
        <v>0</v>
      </c>
      <c r="O3" s="20"/>
      <c r="P3" s="20"/>
      <c r="Q3" s="21"/>
      <c r="R3" s="61"/>
      <c r="S3" s="57"/>
      <c r="T3" s="57"/>
      <c r="U3" s="57"/>
      <c r="V3" s="14"/>
    </row>
    <row r="4" spans="1:22" ht="14.65" customHeight="1" x14ac:dyDescent="0.3">
      <c r="A4" s="43"/>
      <c r="B4" s="64" t="s">
        <v>9</v>
      </c>
      <c r="C4" s="65">
        <f>CountColor(A:A, B4)</f>
        <v>0</v>
      </c>
      <c r="D4" s="22" t="e">
        <f t="shared" si="0"/>
        <v>#DIV/0!</v>
      </c>
      <c r="E4" s="57"/>
      <c r="F4" s="58"/>
      <c r="G4" s="57"/>
      <c r="H4" s="57"/>
      <c r="I4" s="57"/>
      <c r="J4" s="62"/>
      <c r="K4" s="43"/>
      <c r="L4" s="63" t="s">
        <v>10</v>
      </c>
      <c r="M4" s="18">
        <f>COUNTIF($N$14:$N$258, "Staff")</f>
        <v>0</v>
      </c>
      <c r="N4" s="19">
        <f>IF(M2&lt;&gt;0,M4/$A$3,0)</f>
        <v>0</v>
      </c>
      <c r="O4" s="20"/>
      <c r="P4" s="20"/>
      <c r="Q4" s="21"/>
      <c r="R4" s="61"/>
      <c r="S4" s="57"/>
      <c r="T4" s="57"/>
      <c r="U4" s="57"/>
      <c r="V4" s="14"/>
    </row>
    <row r="5" spans="1:22" ht="14.65" customHeight="1" x14ac:dyDescent="0.25">
      <c r="A5" s="43"/>
      <c r="B5" s="23" t="s">
        <v>11</v>
      </c>
      <c r="C5" s="24">
        <f>CountColor(A:A, B5)</f>
        <v>1048562</v>
      </c>
      <c r="D5" s="25" t="e">
        <f t="shared" si="0"/>
        <v>#DIV/0!</v>
      </c>
      <c r="E5" s="57"/>
      <c r="F5" s="58"/>
      <c r="G5" s="57"/>
      <c r="H5" s="57"/>
      <c r="I5" s="57"/>
      <c r="J5" s="62"/>
      <c r="K5" s="43"/>
      <c r="L5" s="45" t="s">
        <v>12</v>
      </c>
      <c r="M5" s="48">
        <f>SUM(P5:P10)</f>
        <v>0</v>
      </c>
      <c r="N5" s="50" t="e">
        <f>M5/$A$3</f>
        <v>#DIV/0!</v>
      </c>
      <c r="O5" s="66" t="s">
        <v>13</v>
      </c>
      <c r="P5" s="67">
        <f>COUNTIF($N$14:$N$258, "FOL")</f>
        <v>0</v>
      </c>
      <c r="Q5" s="68">
        <f>IF($M$5&lt;&gt;0,P5/$M$5,0)</f>
        <v>0</v>
      </c>
      <c r="R5" s="69"/>
      <c r="S5" s="70"/>
      <c r="T5" s="57"/>
      <c r="U5" s="57"/>
      <c r="V5" s="14"/>
    </row>
    <row r="6" spans="1:22" ht="14.65" customHeight="1" x14ac:dyDescent="0.25">
      <c r="A6" s="43"/>
      <c r="B6" s="71" t="s">
        <v>14</v>
      </c>
      <c r="C6" s="72">
        <f>CountColor(A:A, B6)</f>
        <v>0</v>
      </c>
      <c r="D6" s="73" t="e">
        <f t="shared" si="0"/>
        <v>#DIV/0!</v>
      </c>
      <c r="E6" s="57"/>
      <c r="F6" s="58"/>
      <c r="G6" s="57"/>
      <c r="H6" s="57"/>
      <c r="I6" s="57"/>
      <c r="J6" s="62"/>
      <c r="K6" s="43"/>
      <c r="L6" s="46"/>
      <c r="M6" s="74"/>
      <c r="N6" s="75"/>
      <c r="O6" s="66" t="s">
        <v>15</v>
      </c>
      <c r="P6" s="67">
        <f>COUNTIF($N$14:$N$258, "Comm")</f>
        <v>0</v>
      </c>
      <c r="Q6" s="68">
        <f t="shared" ref="Q6:Q11" si="1">IF($M$5&lt;&gt;0,P6/$M$5,0)</f>
        <v>0</v>
      </c>
      <c r="R6" s="69"/>
      <c r="S6" s="70"/>
      <c r="T6" s="57"/>
      <c r="U6" s="57"/>
      <c r="V6" s="14"/>
    </row>
    <row r="7" spans="1:22" ht="14.65" customHeight="1" thickBot="1" x14ac:dyDescent="0.3">
      <c r="A7" s="44"/>
      <c r="B7" s="76" t="s">
        <v>44</v>
      </c>
      <c r="C7" s="77">
        <f>CountColor(A:A, B7)</f>
        <v>0</v>
      </c>
      <c r="D7" s="78" t="e">
        <f t="shared" si="0"/>
        <v>#DIV/0!</v>
      </c>
      <c r="E7" s="57"/>
      <c r="F7" s="58"/>
      <c r="G7" s="57"/>
      <c r="H7" s="57"/>
      <c r="I7" s="57"/>
      <c r="J7" s="62"/>
      <c r="K7" s="43"/>
      <c r="L7" s="46"/>
      <c r="M7" s="74"/>
      <c r="N7" s="75"/>
      <c r="O7" s="66" t="s">
        <v>16</v>
      </c>
      <c r="P7" s="67">
        <f>COUNTIF($N$14:$N$258,"*HS*") + COUNTIF($N$14:$N$258, "*VIVA*") + COUNTIF($N$14:$N$258, "*RALC*")</f>
        <v>0</v>
      </c>
      <c r="Q7" s="68">
        <f t="shared" si="1"/>
        <v>0</v>
      </c>
      <c r="R7" s="69"/>
      <c r="S7" s="70"/>
      <c r="T7" s="57"/>
      <c r="U7" s="57"/>
      <c r="V7" s="14"/>
    </row>
    <row r="8" spans="1:22" ht="14.65" customHeight="1" thickBot="1" x14ac:dyDescent="0.3">
      <c r="A8" s="27"/>
      <c r="B8" s="79"/>
      <c r="C8" s="80">
        <f>SUM(C2:C7)</f>
        <v>1048563</v>
      </c>
      <c r="D8" s="81" t="e">
        <f>SUM(D2:D7)</f>
        <v>#DIV/0!</v>
      </c>
      <c r="E8" s="57"/>
      <c r="F8" s="58"/>
      <c r="G8" s="57"/>
      <c r="H8" s="57"/>
      <c r="I8" s="57"/>
      <c r="J8" s="62"/>
      <c r="K8" s="43"/>
      <c r="L8" s="46"/>
      <c r="M8" s="74"/>
      <c r="N8" s="75"/>
      <c r="O8" s="66" t="s">
        <v>17</v>
      </c>
      <c r="P8" s="67">
        <f>COUNTIF($N$14:$N$258, "*Retired*")</f>
        <v>0</v>
      </c>
      <c r="Q8" s="68">
        <f t="shared" si="1"/>
        <v>0</v>
      </c>
      <c r="R8" s="69"/>
      <c r="S8" s="70"/>
      <c r="T8" s="57"/>
      <c r="U8" s="57"/>
      <c r="V8" s="14"/>
    </row>
    <row r="9" spans="1:22" ht="14.65" customHeight="1" x14ac:dyDescent="0.25">
      <c r="A9" s="28"/>
      <c r="B9" s="52" t="s">
        <v>45</v>
      </c>
      <c r="C9" s="53"/>
      <c r="D9" s="82"/>
      <c r="E9" s="57"/>
      <c r="F9" s="58"/>
      <c r="G9" s="57"/>
      <c r="H9" s="57"/>
      <c r="I9" s="57"/>
      <c r="J9" s="62"/>
      <c r="K9" s="43"/>
      <c r="L9" s="46"/>
      <c r="M9" s="74"/>
      <c r="N9" s="75"/>
      <c r="O9" s="66" t="s">
        <v>19</v>
      </c>
      <c r="P9" s="67">
        <f>COUNTIF($N$14:$N$258, "*Fam*")</f>
        <v>0</v>
      </c>
      <c r="Q9" s="68">
        <f t="shared" si="1"/>
        <v>0</v>
      </c>
      <c r="R9" s="69"/>
      <c r="S9" s="70"/>
      <c r="T9" s="57"/>
      <c r="U9" s="57"/>
      <c r="V9" s="14"/>
    </row>
    <row r="10" spans="1:22" ht="14.65" customHeight="1" x14ac:dyDescent="0.25">
      <c r="A10" s="28"/>
      <c r="B10" s="29" t="s">
        <v>18</v>
      </c>
      <c r="C10" s="30" t="e">
        <f>AVERAGE($V$15:$V$258)</f>
        <v>#DIV/0!</v>
      </c>
      <c r="D10" s="83"/>
      <c r="E10" s="57"/>
      <c r="F10" s="58"/>
      <c r="G10" s="57"/>
      <c r="H10" s="57"/>
      <c r="I10" s="57"/>
      <c r="J10" s="62"/>
      <c r="K10" s="43"/>
      <c r="L10" s="46"/>
      <c r="M10" s="74"/>
      <c r="N10" s="75"/>
      <c r="O10" s="66" t="s">
        <v>46</v>
      </c>
      <c r="P10" s="67">
        <f>COUNTIF($N$14:$N$258, "Alumni")</f>
        <v>0</v>
      </c>
      <c r="Q10" s="68">
        <f t="shared" si="1"/>
        <v>0</v>
      </c>
      <c r="R10" s="69"/>
      <c r="S10" s="70"/>
      <c r="T10" s="57"/>
      <c r="U10" s="57"/>
      <c r="V10" s="14"/>
    </row>
    <row r="11" spans="1:22" ht="14.65" customHeight="1" thickBot="1" x14ac:dyDescent="0.3">
      <c r="A11" s="28"/>
      <c r="B11" s="31" t="s">
        <v>20</v>
      </c>
      <c r="C11" s="32" t="e">
        <f>AVERAGE($U$15:$U$258)</f>
        <v>#DIV/0!</v>
      </c>
      <c r="D11" s="83"/>
      <c r="E11" s="57"/>
      <c r="F11" s="58"/>
      <c r="G11" s="57"/>
      <c r="H11" s="57"/>
      <c r="I11" s="57"/>
      <c r="J11" s="84"/>
      <c r="K11" s="44"/>
      <c r="L11" s="47"/>
      <c r="M11" s="49"/>
      <c r="N11" s="51"/>
      <c r="O11" s="33" t="s">
        <v>21</v>
      </c>
      <c r="P11" s="85">
        <f>COUNTIF($N$14:$N$258, "ILL")</f>
        <v>0</v>
      </c>
      <c r="Q11" s="86">
        <f t="shared" si="1"/>
        <v>0</v>
      </c>
      <c r="R11" s="69"/>
      <c r="S11" s="70"/>
      <c r="T11" s="57"/>
      <c r="U11" s="57"/>
      <c r="V11" s="14"/>
    </row>
    <row r="12" spans="1:22" ht="14.65" customHeight="1" x14ac:dyDescent="0.25">
      <c r="A12" s="26"/>
      <c r="B12" s="79"/>
      <c r="C12" s="87"/>
      <c r="D12" s="88"/>
      <c r="E12" s="57"/>
      <c r="F12" s="58"/>
      <c r="G12" s="57"/>
      <c r="H12" s="57"/>
      <c r="I12" s="57"/>
      <c r="J12" s="84"/>
      <c r="K12" s="84"/>
      <c r="L12" s="89"/>
      <c r="M12" s="80">
        <f>SUM(M2:M10)</f>
        <v>0</v>
      </c>
      <c r="N12" s="81" t="e">
        <f>SUM(N2:N10)</f>
        <v>#DIV/0!</v>
      </c>
      <c r="O12" s="89"/>
      <c r="P12" s="90">
        <f>SUM(P5:P10)</f>
        <v>0</v>
      </c>
      <c r="Q12" s="91">
        <f>SUM(Q5:Q10)</f>
        <v>0</v>
      </c>
      <c r="R12" s="92"/>
      <c r="S12" s="93"/>
      <c r="T12" s="57"/>
      <c r="U12" s="57"/>
      <c r="V12" s="14"/>
    </row>
    <row r="13" spans="1:22" ht="15.75" thickBot="1" x14ac:dyDescent="0.3">
      <c r="A13" s="34"/>
      <c r="B13" s="35"/>
      <c r="C13" s="36"/>
      <c r="D13" s="36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94"/>
      <c r="S13" s="37"/>
      <c r="T13" s="37"/>
      <c r="U13" s="37"/>
      <c r="V13" s="38"/>
    </row>
    <row r="14" spans="1:22" ht="78" customHeight="1" x14ac:dyDescent="0.25">
      <c r="A14" s="41" t="s">
        <v>22</v>
      </c>
      <c r="B14" s="40" t="s">
        <v>23</v>
      </c>
      <c r="C14" s="40" t="s">
        <v>43</v>
      </c>
      <c r="D14" s="41" t="s">
        <v>24</v>
      </c>
      <c r="E14" s="41" t="s">
        <v>25</v>
      </c>
      <c r="F14" s="41" t="s">
        <v>26</v>
      </c>
      <c r="G14" s="41" t="s">
        <v>27</v>
      </c>
      <c r="H14" s="41" t="s">
        <v>28</v>
      </c>
      <c r="I14" s="41" t="s">
        <v>29</v>
      </c>
      <c r="J14" s="41" t="s">
        <v>30</v>
      </c>
      <c r="K14" s="42" t="s">
        <v>31</v>
      </c>
      <c r="L14" s="42" t="s">
        <v>32</v>
      </c>
      <c r="M14" s="95" t="s">
        <v>33</v>
      </c>
      <c r="N14" s="96" t="s">
        <v>34</v>
      </c>
      <c r="O14" s="96" t="s">
        <v>35</v>
      </c>
      <c r="P14" s="96" t="s">
        <v>36</v>
      </c>
      <c r="Q14" s="96" t="s">
        <v>37</v>
      </c>
      <c r="R14" s="95" t="s">
        <v>38</v>
      </c>
      <c r="S14" s="96" t="s">
        <v>39</v>
      </c>
      <c r="T14" s="96" t="s">
        <v>40</v>
      </c>
      <c r="U14" s="96" t="s">
        <v>41</v>
      </c>
      <c r="V14" s="96" t="s">
        <v>42</v>
      </c>
    </row>
    <row r="15" spans="1:22" ht="14.65" customHeight="1" x14ac:dyDescent="0.25">
      <c r="M15">
        <f ca="1">IF(T15="-",TODAY()-L15," ")</f>
        <v>44165</v>
      </c>
      <c r="T15" t="s">
        <v>47</v>
      </c>
      <c r="U15" t="str">
        <f>IF(T15&lt;&gt;"-",DATEDIF(R15,T15, "d")," ")</f>
        <v xml:space="preserve"> </v>
      </c>
      <c r="V15" t="str">
        <f>IF(T15&lt;&gt;"-",DATEDIF(L15,T15,"d")," ")</f>
        <v xml:space="preserve"> </v>
      </c>
    </row>
  </sheetData>
  <autoFilter ref="A14:V14" xr:uid="{840264A1-C0A0-4186-8B44-B0324B1DA64B}"/>
  <mergeCells count="7">
    <mergeCell ref="N5:N11"/>
    <mergeCell ref="B9:C9"/>
    <mergeCell ref="J3:J10"/>
    <mergeCell ref="A3:A7"/>
    <mergeCell ref="K3:K11"/>
    <mergeCell ref="L5:L11"/>
    <mergeCell ref="M5:M1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Wiseman</dc:creator>
  <cp:lastModifiedBy>Tyler</cp:lastModifiedBy>
  <dcterms:created xsi:type="dcterms:W3CDTF">2020-11-18T22:00:38Z</dcterms:created>
  <dcterms:modified xsi:type="dcterms:W3CDTF">2020-11-30T22:34:13Z</dcterms:modified>
</cp:coreProperties>
</file>